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080" yWindow="600" windowWidth="23235" windowHeight="10755"/>
  </bookViews>
  <sheets>
    <sheet name="Hoja1" sheetId="1" r:id="rId1"/>
    <sheet name="Hoja2" sheetId="2" r:id="rId2"/>
    <sheet name="Hoja3" sheetId="3" r:id="rId3"/>
  </sheets>
  <calcPr calcId="144525"/>
</workbook>
</file>

<file path=xl/calcChain.xml><?xml version="1.0" encoding="utf-8"?>
<calcChain xmlns="http://schemas.openxmlformats.org/spreadsheetml/2006/main"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</calcChain>
</file>

<file path=xl/sharedStrings.xml><?xml version="1.0" encoding="utf-8"?>
<sst xmlns="http://schemas.openxmlformats.org/spreadsheetml/2006/main" count="258" uniqueCount="74">
  <si>
    <t>Tipo</t>
  </si>
  <si>
    <t>Poligono</t>
  </si>
  <si>
    <t>Coordenada_X,</t>
  </si>
  <si>
    <t>Coordenada_Y.</t>
  </si>
  <si>
    <t>Altura_cm</t>
  </si>
  <si>
    <t>agave</t>
  </si>
  <si>
    <t>Bueno</t>
  </si>
  <si>
    <t>Estado_Salud</t>
  </si>
  <si>
    <t>Diametro_cm</t>
  </si>
  <si>
    <t>Fecha_Plantacion</t>
  </si>
  <si>
    <t>Ultima_Observacion</t>
  </si>
  <si>
    <t>Fecha_Riego</t>
  </si>
  <si>
    <t>Fertilizacion</t>
  </si>
  <si>
    <t>Notas</t>
  </si>
  <si>
    <t>ID_Especimen</t>
  </si>
  <si>
    <t>Genero</t>
  </si>
  <si>
    <t>Especie</t>
  </si>
  <si>
    <t>MAG00001</t>
  </si>
  <si>
    <t>MAGUEY</t>
  </si>
  <si>
    <t>salmiana</t>
  </si>
  <si>
    <t>Martín Luis</t>
  </si>
  <si>
    <t>Excelente</t>
  </si>
  <si>
    <t>MAG00002</t>
  </si>
  <si>
    <t>MAG00003</t>
  </si>
  <si>
    <t>MAG00004</t>
  </si>
  <si>
    <t>MAG00005</t>
  </si>
  <si>
    <t>MAG00006</t>
  </si>
  <si>
    <t>MAG00007</t>
  </si>
  <si>
    <t>MAG00008</t>
  </si>
  <si>
    <t>MAG00009</t>
  </si>
  <si>
    <t>americana</t>
  </si>
  <si>
    <t>cupratea</t>
  </si>
  <si>
    <t>Ruinas</t>
  </si>
  <si>
    <t>MAG00010</t>
  </si>
  <si>
    <t>MAG00011</t>
  </si>
  <si>
    <t>MAG00012</t>
  </si>
  <si>
    <t>MAG00013</t>
  </si>
  <si>
    <t>MAG00014</t>
  </si>
  <si>
    <t>MAG00015</t>
  </si>
  <si>
    <t>MAG00016</t>
  </si>
  <si>
    <t>MAG00017</t>
  </si>
  <si>
    <t>MAG00018</t>
  </si>
  <si>
    <t>MAG00019</t>
  </si>
  <si>
    <t>MAG00020</t>
  </si>
  <si>
    <t>MAG00021</t>
  </si>
  <si>
    <t>MAG00022</t>
  </si>
  <si>
    <t>MAG00023</t>
  </si>
  <si>
    <t>MAG00024</t>
  </si>
  <si>
    <t>MAG00025</t>
  </si>
  <si>
    <t>MAG00026</t>
  </si>
  <si>
    <t>MAG00027</t>
  </si>
  <si>
    <t>MAG00028</t>
  </si>
  <si>
    <t>MAG00029</t>
  </si>
  <si>
    <t>MAG00030</t>
  </si>
  <si>
    <t>MAG00031</t>
  </si>
  <si>
    <t>MAG00032</t>
  </si>
  <si>
    <t>MAG00033</t>
  </si>
  <si>
    <t>MAG00034</t>
  </si>
  <si>
    <t>ÓRGANO</t>
  </si>
  <si>
    <t>NOPAL</t>
  </si>
  <si>
    <t>OTRA CACTÁCEA</t>
  </si>
  <si>
    <t>lophoceryus</t>
  </si>
  <si>
    <t>opuntia</t>
  </si>
  <si>
    <t>común</t>
  </si>
  <si>
    <t>Agrícola</t>
  </si>
  <si>
    <t>Maria Leonor</t>
  </si>
  <si>
    <t>29/12/2025</t>
  </si>
  <si>
    <t>Crítico</t>
  </si>
  <si>
    <t>Regular</t>
  </si>
  <si>
    <t>pruebas</t>
  </si>
  <si>
    <t>revisar</t>
  </si>
  <si>
    <t>con hormiga</t>
  </si>
  <si>
    <t>hongo</t>
  </si>
  <si>
    <t>hijeando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</si>
</sst>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9" formatCode="dd/mm/yy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169" fontId="1" fillId="0" borderId="1" xfId="0" applyNumberFormat="1" applyFont="1" applyBorder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5"/>
  <sheetViews>
    <sheetView tabSelected="1" workbookViewId="0">
      <selection activeCell="O7" sqref="O7"/>
    </sheetView>
  </sheetViews>
  <sheetFormatPr baseColWidth="10" defaultRowHeight="15" x14ac:dyDescent="0.25"/>
  <cols>
    <col min="1" max="1" width="38" customWidth="1"/>
    <col min="6" max="6" width="14.42578125" bestFit="1" customWidth="1"/>
    <col min="7" max="7" width="14.28515625" bestFit="1" customWidth="1"/>
    <col min="8" max="8" width="13.28515625" bestFit="1" customWidth="1"/>
    <col min="10" max="10" width="13.42578125" bestFit="1" customWidth="1"/>
    <col min="11" max="11" width="17.140625" style="3" bestFit="1" customWidth="1"/>
    <col min="12" max="12" width="19.5703125" style="3" bestFit="1" customWidth="1"/>
    <col min="13" max="13" width="12.7109375" bestFit="1" customWidth="1"/>
    <col min="14" max="14" width="13.28515625" customWidth="1"/>
  </cols>
  <sheetData>
    <row r="1" spans="1:15" s="1" customFormat="1" x14ac:dyDescent="0.25">
      <c r="A1" s="1" t="s">
        <v>14</v>
      </c>
      <c r="B1" s="1" t="s">
        <v>0</v>
      </c>
      <c r="C1" s="1" t="s">
        <v>15</v>
      </c>
      <c r="D1" s="1" t="s">
        <v>16</v>
      </c>
      <c r="E1" s="1" t="s">
        <v>1</v>
      </c>
      <c r="F1" s="1" t="s">
        <v>2</v>
      </c>
      <c r="G1" s="1" t="s">
        <v>3</v>
      </c>
      <c r="H1" s="1" t="s">
        <v>7</v>
      </c>
      <c r="I1" s="1" t="s">
        <v>4</v>
      </c>
      <c r="J1" s="1" t="s">
        <v>8</v>
      </c>
      <c r="K1" s="2" t="s">
        <v>9</v>
      </c>
      <c r="L1" s="2" t="s">
        <v>10</v>
      </c>
      <c r="M1" s="1" t="s">
        <v>11</v>
      </c>
      <c r="N1" s="1" t="s">
        <v>12</v>
      </c>
      <c r="O1" s="1" t="s">
        <v>13</v>
      </c>
    </row>
    <row r="2" spans="1:15" x14ac:dyDescent="0.25">
      <c r="A2" t="s">
        <v>17</v>
      </c>
      <c r="B2" t="s">
        <v>18</v>
      </c>
      <c r="C2" t="s">
        <v>5</v>
      </c>
      <c r="D2" t="s">
        <v>19</v>
      </c>
      <c r="E2" t="s">
        <v>20</v>
      </c>
      <c r="F2">
        <v>21.236604</v>
      </c>
      <c r="G2">
        <v>-100.46117099999999</v>
      </c>
      <c r="H2" t="s">
        <v>21</v>
      </c>
      <c r="I2">
        <v>20</v>
      </c>
      <c r="J2">
        <v>30</v>
      </c>
      <c r="K2" s="3">
        <v>46002</v>
      </c>
      <c r="L2" s="3" t="s">
        <v>66</v>
      </c>
      <c r="O2" t="s">
        <v>69</v>
      </c>
    </row>
    <row r="3" spans="1:15" x14ac:dyDescent="0.25">
      <c r="A3" t="s">
        <v>22</v>
      </c>
      <c r="B3" t="s">
        <v>18</v>
      </c>
      <c r="C3" t="s">
        <v>5</v>
      </c>
      <c r="D3" t="s">
        <v>30</v>
      </c>
      <c r="E3" t="s">
        <v>32</v>
      </c>
      <c r="F3">
        <f>F2+0.000002</f>
        <v>21.236605999999998</v>
      </c>
      <c r="G3">
        <f>G2+0.000001</f>
        <v>-100.46117</v>
      </c>
      <c r="H3" t="s">
        <v>21</v>
      </c>
      <c r="I3">
        <v>20</v>
      </c>
      <c r="J3">
        <v>30</v>
      </c>
      <c r="K3" s="3">
        <v>46002</v>
      </c>
      <c r="L3" s="3" t="s">
        <v>66</v>
      </c>
      <c r="O3" t="s">
        <v>70</v>
      </c>
    </row>
    <row r="4" spans="1:15" x14ac:dyDescent="0.25">
      <c r="A4" t="s">
        <v>23</v>
      </c>
      <c r="B4" t="s">
        <v>18</v>
      </c>
      <c r="C4" t="s">
        <v>5</v>
      </c>
      <c r="D4" t="s">
        <v>19</v>
      </c>
      <c r="E4" t="s">
        <v>20</v>
      </c>
      <c r="F4">
        <f t="shared" ref="F4:F35" si="0">F3+0.000002</f>
        <v>21.236607999999997</v>
      </c>
      <c r="G4">
        <f t="shared" ref="G4:G35" si="1">G3+0.000001</f>
        <v>-100.461169</v>
      </c>
      <c r="H4" t="s">
        <v>21</v>
      </c>
      <c r="I4">
        <v>20</v>
      </c>
      <c r="J4">
        <v>30</v>
      </c>
      <c r="K4" s="3">
        <v>46002</v>
      </c>
      <c r="L4" s="3" t="s">
        <v>66</v>
      </c>
      <c r="O4" t="s">
        <v>71</v>
      </c>
    </row>
    <row r="5" spans="1:15" x14ac:dyDescent="0.25">
      <c r="A5" t="s">
        <v>24</v>
      </c>
      <c r="B5" t="s">
        <v>18</v>
      </c>
      <c r="C5" t="s">
        <v>5</v>
      </c>
      <c r="D5" t="s">
        <v>31</v>
      </c>
      <c r="E5" t="s">
        <v>32</v>
      </c>
      <c r="F5">
        <f t="shared" si="0"/>
        <v>21.236609999999995</v>
      </c>
      <c r="G5">
        <f t="shared" si="1"/>
        <v>-100.461168</v>
      </c>
      <c r="H5" t="s">
        <v>21</v>
      </c>
      <c r="I5">
        <v>20</v>
      </c>
      <c r="J5">
        <v>25</v>
      </c>
      <c r="K5" s="3">
        <v>46002</v>
      </c>
      <c r="L5" s="3" t="s">
        <v>66</v>
      </c>
      <c r="O5" t="s">
        <v>72</v>
      </c>
    </row>
    <row r="6" spans="1:15" x14ac:dyDescent="0.25">
      <c r="A6" t="s">
        <v>25</v>
      </c>
      <c r="B6" t="s">
        <v>18</v>
      </c>
      <c r="C6" t="s">
        <v>5</v>
      </c>
      <c r="D6" t="s">
        <v>19</v>
      </c>
      <c r="E6" t="s">
        <v>20</v>
      </c>
      <c r="F6">
        <f t="shared" si="0"/>
        <v>21.236611999999994</v>
      </c>
      <c r="G6">
        <f t="shared" si="1"/>
        <v>-100.461167</v>
      </c>
      <c r="H6" t="s">
        <v>6</v>
      </c>
      <c r="I6">
        <v>20</v>
      </c>
      <c r="J6">
        <v>30</v>
      </c>
      <c r="K6" s="3">
        <v>46002</v>
      </c>
      <c r="L6" s="3" t="s">
        <v>66</v>
      </c>
      <c r="O6" t="s">
        <v>73</v>
      </c>
    </row>
    <row r="7" spans="1:15" x14ac:dyDescent="0.25">
      <c r="A7" t="s">
        <v>26</v>
      </c>
      <c r="B7" t="s">
        <v>18</v>
      </c>
      <c r="C7" t="s">
        <v>5</v>
      </c>
      <c r="D7" t="s">
        <v>30</v>
      </c>
      <c r="E7" t="s">
        <v>20</v>
      </c>
      <c r="F7">
        <f t="shared" si="0"/>
        <v>21.236613999999992</v>
      </c>
      <c r="G7">
        <f t="shared" si="1"/>
        <v>-100.46116600000001</v>
      </c>
      <c r="H7" t="s">
        <v>21</v>
      </c>
      <c r="I7">
        <v>20</v>
      </c>
      <c r="J7">
        <v>47</v>
      </c>
      <c r="K7" s="3">
        <v>46002</v>
      </c>
      <c r="L7" s="3" t="s">
        <v>66</v>
      </c>
    </row>
    <row r="8" spans="1:15" x14ac:dyDescent="0.25">
      <c r="A8" t="s">
        <v>27</v>
      </c>
      <c r="B8" t="s">
        <v>18</v>
      </c>
      <c r="C8" t="s">
        <v>5</v>
      </c>
      <c r="D8" t="s">
        <v>19</v>
      </c>
      <c r="E8" t="s">
        <v>20</v>
      </c>
      <c r="F8">
        <f t="shared" si="0"/>
        <v>21.236615999999991</v>
      </c>
      <c r="G8">
        <f t="shared" si="1"/>
        <v>-100.46116500000001</v>
      </c>
      <c r="H8" t="s">
        <v>21</v>
      </c>
      <c r="I8">
        <v>20</v>
      </c>
      <c r="J8">
        <v>30</v>
      </c>
      <c r="K8" s="3">
        <v>46002</v>
      </c>
      <c r="L8" s="3" t="s">
        <v>66</v>
      </c>
    </row>
    <row r="9" spans="1:15" x14ac:dyDescent="0.25">
      <c r="A9" t="s">
        <v>28</v>
      </c>
      <c r="B9" t="s">
        <v>18</v>
      </c>
      <c r="C9" t="s">
        <v>5</v>
      </c>
      <c r="D9" t="s">
        <v>19</v>
      </c>
      <c r="E9" t="s">
        <v>20</v>
      </c>
      <c r="F9">
        <f t="shared" si="0"/>
        <v>21.236617999999989</v>
      </c>
      <c r="G9">
        <f t="shared" si="1"/>
        <v>-100.46116400000001</v>
      </c>
      <c r="H9" t="s">
        <v>21</v>
      </c>
      <c r="I9">
        <v>20</v>
      </c>
      <c r="J9">
        <v>30</v>
      </c>
      <c r="K9" s="3">
        <v>46002</v>
      </c>
      <c r="L9" s="3" t="s">
        <v>66</v>
      </c>
    </row>
    <row r="10" spans="1:15" x14ac:dyDescent="0.25">
      <c r="A10" t="s">
        <v>29</v>
      </c>
      <c r="B10" t="s">
        <v>18</v>
      </c>
      <c r="C10" t="s">
        <v>5</v>
      </c>
      <c r="D10" t="s">
        <v>30</v>
      </c>
      <c r="E10" t="s">
        <v>20</v>
      </c>
      <c r="F10">
        <f t="shared" si="0"/>
        <v>21.236619999999988</v>
      </c>
      <c r="G10">
        <f t="shared" si="1"/>
        <v>-100.46116300000001</v>
      </c>
      <c r="H10" t="s">
        <v>21</v>
      </c>
      <c r="I10">
        <v>20</v>
      </c>
      <c r="J10">
        <v>30</v>
      </c>
      <c r="K10" s="3">
        <v>46002</v>
      </c>
      <c r="L10" s="3" t="s">
        <v>66</v>
      </c>
    </row>
    <row r="11" spans="1:15" x14ac:dyDescent="0.25">
      <c r="A11" t="s">
        <v>33</v>
      </c>
      <c r="B11" t="s">
        <v>58</v>
      </c>
      <c r="C11" t="s">
        <v>61</v>
      </c>
      <c r="D11" t="s">
        <v>63</v>
      </c>
      <c r="E11" t="s">
        <v>20</v>
      </c>
      <c r="F11">
        <f t="shared" si="0"/>
        <v>21.236621999999986</v>
      </c>
      <c r="G11">
        <f t="shared" si="1"/>
        <v>-100.46116200000002</v>
      </c>
      <c r="H11" t="s">
        <v>67</v>
      </c>
      <c r="I11">
        <v>20</v>
      </c>
      <c r="J11">
        <v>12</v>
      </c>
      <c r="K11" s="3">
        <v>46002</v>
      </c>
      <c r="L11" s="3" t="s">
        <v>66</v>
      </c>
    </row>
    <row r="12" spans="1:15" x14ac:dyDescent="0.25">
      <c r="A12" t="s">
        <v>34</v>
      </c>
      <c r="B12" t="s">
        <v>60</v>
      </c>
      <c r="C12" t="s">
        <v>5</v>
      </c>
      <c r="D12" t="s">
        <v>31</v>
      </c>
      <c r="E12" t="s">
        <v>64</v>
      </c>
      <c r="F12">
        <f t="shared" si="0"/>
        <v>21.236623999999985</v>
      </c>
      <c r="G12">
        <f t="shared" si="1"/>
        <v>-100.46116100000002</v>
      </c>
      <c r="H12" t="s">
        <v>68</v>
      </c>
      <c r="I12">
        <v>50</v>
      </c>
      <c r="J12">
        <v>30</v>
      </c>
      <c r="K12" s="3">
        <v>46002</v>
      </c>
      <c r="L12" s="3" t="s">
        <v>66</v>
      </c>
    </row>
    <row r="13" spans="1:15" x14ac:dyDescent="0.25">
      <c r="A13" t="s">
        <v>35</v>
      </c>
      <c r="B13" t="s">
        <v>59</v>
      </c>
      <c r="C13" t="s">
        <v>62</v>
      </c>
      <c r="D13" t="s">
        <v>19</v>
      </c>
      <c r="E13" t="s">
        <v>32</v>
      </c>
      <c r="F13">
        <f t="shared" si="0"/>
        <v>21.236625999999983</v>
      </c>
      <c r="G13">
        <f t="shared" si="1"/>
        <v>-100.46116000000002</v>
      </c>
      <c r="H13" t="s">
        <v>68</v>
      </c>
      <c r="I13">
        <v>20</v>
      </c>
      <c r="J13">
        <v>30</v>
      </c>
      <c r="K13" s="3">
        <v>46002</v>
      </c>
      <c r="L13" s="3" t="s">
        <v>66</v>
      </c>
    </row>
    <row r="14" spans="1:15" x14ac:dyDescent="0.25">
      <c r="A14" t="s">
        <v>36</v>
      </c>
      <c r="B14" t="s">
        <v>18</v>
      </c>
      <c r="C14" t="s">
        <v>5</v>
      </c>
      <c r="D14" t="s">
        <v>19</v>
      </c>
      <c r="E14" t="s">
        <v>65</v>
      </c>
      <c r="F14">
        <f t="shared" si="0"/>
        <v>21.236627999999982</v>
      </c>
      <c r="G14">
        <f t="shared" si="1"/>
        <v>-100.46115900000002</v>
      </c>
      <c r="H14" t="s">
        <v>68</v>
      </c>
      <c r="I14">
        <v>28</v>
      </c>
      <c r="J14">
        <v>30</v>
      </c>
      <c r="K14" s="3">
        <v>46002</v>
      </c>
      <c r="L14" s="3" t="s">
        <v>66</v>
      </c>
    </row>
    <row r="15" spans="1:15" x14ac:dyDescent="0.25">
      <c r="A15" t="s">
        <v>37</v>
      </c>
      <c r="B15" t="s">
        <v>18</v>
      </c>
      <c r="C15" t="s">
        <v>5</v>
      </c>
      <c r="D15" t="s">
        <v>19</v>
      </c>
      <c r="E15" t="s">
        <v>32</v>
      </c>
      <c r="F15">
        <f t="shared" si="0"/>
        <v>21.23662999999998</v>
      </c>
      <c r="G15">
        <f t="shared" si="1"/>
        <v>-100.46115800000003</v>
      </c>
      <c r="H15" t="s">
        <v>68</v>
      </c>
      <c r="I15">
        <v>20</v>
      </c>
      <c r="J15">
        <v>30</v>
      </c>
      <c r="K15" s="3">
        <v>46002</v>
      </c>
      <c r="L15" s="3" t="s">
        <v>66</v>
      </c>
    </row>
    <row r="16" spans="1:15" x14ac:dyDescent="0.25">
      <c r="A16" t="s">
        <v>38</v>
      </c>
      <c r="B16" t="s">
        <v>18</v>
      </c>
      <c r="C16" t="s">
        <v>5</v>
      </c>
      <c r="D16" t="s">
        <v>19</v>
      </c>
      <c r="E16" t="s">
        <v>32</v>
      </c>
      <c r="F16">
        <f t="shared" si="0"/>
        <v>21.236631999999979</v>
      </c>
      <c r="G16">
        <f t="shared" si="1"/>
        <v>-100.46115700000003</v>
      </c>
      <c r="H16" t="s">
        <v>68</v>
      </c>
      <c r="I16">
        <v>20</v>
      </c>
      <c r="J16">
        <v>30</v>
      </c>
      <c r="K16" s="3">
        <v>46002</v>
      </c>
      <c r="L16" s="3" t="s">
        <v>66</v>
      </c>
    </row>
    <row r="17" spans="1:12" x14ac:dyDescent="0.25">
      <c r="A17" t="s">
        <v>39</v>
      </c>
      <c r="B17" t="s">
        <v>18</v>
      </c>
      <c r="C17" t="s">
        <v>5</v>
      </c>
      <c r="D17" t="s">
        <v>19</v>
      </c>
      <c r="E17" t="s">
        <v>32</v>
      </c>
      <c r="F17">
        <f t="shared" si="0"/>
        <v>21.236633999999977</v>
      </c>
      <c r="G17">
        <f t="shared" si="1"/>
        <v>-100.46115600000003</v>
      </c>
      <c r="H17" t="s">
        <v>68</v>
      </c>
      <c r="I17">
        <v>20</v>
      </c>
      <c r="J17">
        <v>30</v>
      </c>
      <c r="K17" s="3">
        <v>46002</v>
      </c>
      <c r="L17" s="3" t="s">
        <v>66</v>
      </c>
    </row>
    <row r="18" spans="1:12" x14ac:dyDescent="0.25">
      <c r="A18" t="s">
        <v>40</v>
      </c>
      <c r="B18" t="s">
        <v>18</v>
      </c>
      <c r="C18" t="s">
        <v>5</v>
      </c>
      <c r="D18" t="s">
        <v>19</v>
      </c>
      <c r="E18" t="s">
        <v>32</v>
      </c>
      <c r="F18">
        <f t="shared" si="0"/>
        <v>21.236635999999976</v>
      </c>
      <c r="G18">
        <f t="shared" si="1"/>
        <v>-100.46115500000003</v>
      </c>
      <c r="H18" t="s">
        <v>68</v>
      </c>
      <c r="I18">
        <v>20</v>
      </c>
      <c r="J18">
        <v>30</v>
      </c>
      <c r="K18" s="3">
        <v>46002</v>
      </c>
      <c r="L18" s="3" t="s">
        <v>66</v>
      </c>
    </row>
    <row r="19" spans="1:12" x14ac:dyDescent="0.25">
      <c r="A19" t="s">
        <v>41</v>
      </c>
      <c r="B19" t="s">
        <v>18</v>
      </c>
      <c r="C19" t="s">
        <v>5</v>
      </c>
      <c r="D19" t="s">
        <v>19</v>
      </c>
      <c r="E19" t="s">
        <v>32</v>
      </c>
      <c r="F19">
        <f t="shared" si="0"/>
        <v>21.236637999999974</v>
      </c>
      <c r="G19">
        <f t="shared" si="1"/>
        <v>-100.46115400000004</v>
      </c>
      <c r="H19" t="s">
        <v>68</v>
      </c>
      <c r="I19">
        <v>20</v>
      </c>
      <c r="J19">
        <v>33</v>
      </c>
      <c r="K19" s="3">
        <v>46002</v>
      </c>
      <c r="L19" s="3" t="s">
        <v>66</v>
      </c>
    </row>
    <row r="20" spans="1:12" x14ac:dyDescent="0.25">
      <c r="A20" t="s">
        <v>42</v>
      </c>
      <c r="B20" t="s">
        <v>18</v>
      </c>
      <c r="C20" t="s">
        <v>5</v>
      </c>
      <c r="D20" t="s">
        <v>19</v>
      </c>
      <c r="E20" t="s">
        <v>32</v>
      </c>
      <c r="F20">
        <f t="shared" si="0"/>
        <v>21.236639999999973</v>
      </c>
      <c r="G20">
        <f t="shared" si="1"/>
        <v>-100.46115300000004</v>
      </c>
      <c r="H20" t="s">
        <v>6</v>
      </c>
      <c r="I20">
        <v>20</v>
      </c>
      <c r="J20">
        <v>30</v>
      </c>
      <c r="K20" s="3">
        <v>46002</v>
      </c>
      <c r="L20" s="3" t="s">
        <v>66</v>
      </c>
    </row>
    <row r="21" spans="1:12" x14ac:dyDescent="0.25">
      <c r="A21" t="s">
        <v>43</v>
      </c>
      <c r="B21" t="s">
        <v>18</v>
      </c>
      <c r="C21" t="s">
        <v>5</v>
      </c>
      <c r="D21" t="s">
        <v>19</v>
      </c>
      <c r="E21" t="s">
        <v>32</v>
      </c>
      <c r="F21">
        <f t="shared" si="0"/>
        <v>21.236641999999971</v>
      </c>
      <c r="G21">
        <f t="shared" si="1"/>
        <v>-100.46115200000004</v>
      </c>
      <c r="H21" t="s">
        <v>6</v>
      </c>
      <c r="I21">
        <v>20</v>
      </c>
      <c r="J21">
        <v>30</v>
      </c>
      <c r="K21" s="3">
        <v>46002</v>
      </c>
      <c r="L21" s="3" t="s">
        <v>66</v>
      </c>
    </row>
    <row r="22" spans="1:12" x14ac:dyDescent="0.25">
      <c r="A22" t="s">
        <v>44</v>
      </c>
      <c r="B22" t="s">
        <v>18</v>
      </c>
      <c r="C22" t="s">
        <v>5</v>
      </c>
      <c r="D22" t="s">
        <v>19</v>
      </c>
      <c r="E22" t="s">
        <v>32</v>
      </c>
      <c r="F22">
        <f t="shared" si="0"/>
        <v>21.23664399999997</v>
      </c>
      <c r="G22">
        <f t="shared" si="1"/>
        <v>-100.46115100000004</v>
      </c>
      <c r="H22" t="s">
        <v>6</v>
      </c>
      <c r="I22">
        <v>20</v>
      </c>
      <c r="J22">
        <v>30</v>
      </c>
      <c r="K22" s="3">
        <v>46002</v>
      </c>
      <c r="L22" s="3" t="s">
        <v>66</v>
      </c>
    </row>
    <row r="23" spans="1:12" x14ac:dyDescent="0.25">
      <c r="A23" t="s">
        <v>45</v>
      </c>
      <c r="B23" t="s">
        <v>18</v>
      </c>
      <c r="C23" t="s">
        <v>5</v>
      </c>
      <c r="D23" t="s">
        <v>19</v>
      </c>
      <c r="E23" t="s">
        <v>32</v>
      </c>
      <c r="F23">
        <f t="shared" si="0"/>
        <v>21.236645999999968</v>
      </c>
      <c r="G23">
        <f t="shared" si="1"/>
        <v>-100.46115000000005</v>
      </c>
      <c r="H23" t="s">
        <v>6</v>
      </c>
      <c r="I23">
        <v>20</v>
      </c>
      <c r="J23">
        <v>28</v>
      </c>
      <c r="K23" s="3">
        <v>46002</v>
      </c>
      <c r="L23" s="3" t="s">
        <v>66</v>
      </c>
    </row>
    <row r="24" spans="1:12" x14ac:dyDescent="0.25">
      <c r="A24" t="s">
        <v>46</v>
      </c>
      <c r="B24" t="s">
        <v>18</v>
      </c>
      <c r="C24" t="s">
        <v>5</v>
      </c>
      <c r="D24" t="s">
        <v>19</v>
      </c>
      <c r="E24" t="s">
        <v>32</v>
      </c>
      <c r="F24">
        <f t="shared" si="0"/>
        <v>21.236647999999967</v>
      </c>
      <c r="G24">
        <f t="shared" si="1"/>
        <v>-100.46114900000005</v>
      </c>
      <c r="H24" t="s">
        <v>6</v>
      </c>
      <c r="I24">
        <v>20</v>
      </c>
      <c r="J24">
        <v>30</v>
      </c>
      <c r="K24" s="3">
        <v>46002</v>
      </c>
      <c r="L24" s="3" t="s">
        <v>66</v>
      </c>
    </row>
    <row r="25" spans="1:12" x14ac:dyDescent="0.25">
      <c r="A25" t="s">
        <v>47</v>
      </c>
      <c r="B25" t="s">
        <v>18</v>
      </c>
      <c r="C25" t="s">
        <v>5</v>
      </c>
      <c r="D25" t="s">
        <v>19</v>
      </c>
      <c r="E25" t="s">
        <v>32</v>
      </c>
      <c r="F25">
        <f t="shared" si="0"/>
        <v>21.236649999999965</v>
      </c>
      <c r="G25">
        <f t="shared" si="1"/>
        <v>-100.46114800000005</v>
      </c>
      <c r="H25" t="s">
        <v>6</v>
      </c>
      <c r="I25">
        <v>20</v>
      </c>
      <c r="J25">
        <v>30</v>
      </c>
      <c r="K25" s="3">
        <v>46002</v>
      </c>
      <c r="L25" s="3" t="s">
        <v>66</v>
      </c>
    </row>
    <row r="26" spans="1:12" x14ac:dyDescent="0.25">
      <c r="A26" t="s">
        <v>48</v>
      </c>
      <c r="B26" t="s">
        <v>18</v>
      </c>
      <c r="C26" t="s">
        <v>5</v>
      </c>
      <c r="D26" t="s">
        <v>19</v>
      </c>
      <c r="E26" t="s">
        <v>20</v>
      </c>
      <c r="F26">
        <f t="shared" si="0"/>
        <v>21.236651999999964</v>
      </c>
      <c r="G26">
        <f t="shared" si="1"/>
        <v>-100.46114700000005</v>
      </c>
      <c r="H26" t="s">
        <v>68</v>
      </c>
      <c r="I26">
        <v>20</v>
      </c>
      <c r="J26">
        <v>33</v>
      </c>
      <c r="K26" s="3">
        <v>46002</v>
      </c>
      <c r="L26" s="3" t="s">
        <v>66</v>
      </c>
    </row>
    <row r="27" spans="1:12" x14ac:dyDescent="0.25">
      <c r="A27" t="s">
        <v>49</v>
      </c>
      <c r="B27" t="s">
        <v>18</v>
      </c>
      <c r="C27" t="s">
        <v>5</v>
      </c>
      <c r="D27" t="s">
        <v>19</v>
      </c>
      <c r="E27" t="s">
        <v>32</v>
      </c>
      <c r="F27">
        <f t="shared" si="0"/>
        <v>21.236653999999962</v>
      </c>
      <c r="G27">
        <f t="shared" si="1"/>
        <v>-100.46114600000006</v>
      </c>
      <c r="H27" t="s">
        <v>6</v>
      </c>
      <c r="I27">
        <v>20</v>
      </c>
      <c r="J27">
        <v>31</v>
      </c>
      <c r="K27" s="3">
        <v>46002</v>
      </c>
      <c r="L27" s="3" t="s">
        <v>66</v>
      </c>
    </row>
    <row r="28" spans="1:12" x14ac:dyDescent="0.25">
      <c r="A28" t="s">
        <v>50</v>
      </c>
      <c r="B28" t="s">
        <v>18</v>
      </c>
      <c r="C28" t="s">
        <v>5</v>
      </c>
      <c r="D28" t="s">
        <v>30</v>
      </c>
      <c r="E28" t="s">
        <v>32</v>
      </c>
      <c r="F28">
        <f t="shared" si="0"/>
        <v>21.236655999999961</v>
      </c>
      <c r="G28">
        <f t="shared" si="1"/>
        <v>-100.46114500000006</v>
      </c>
      <c r="H28" t="s">
        <v>6</v>
      </c>
      <c r="I28">
        <v>20</v>
      </c>
      <c r="J28">
        <v>30</v>
      </c>
      <c r="K28" s="3">
        <v>46002</v>
      </c>
      <c r="L28" s="3" t="s">
        <v>66</v>
      </c>
    </row>
    <row r="29" spans="1:12" x14ac:dyDescent="0.25">
      <c r="A29" t="s">
        <v>51</v>
      </c>
      <c r="B29" t="s">
        <v>18</v>
      </c>
      <c r="C29" t="s">
        <v>5</v>
      </c>
      <c r="D29" t="s">
        <v>30</v>
      </c>
      <c r="E29" t="s">
        <v>32</v>
      </c>
      <c r="F29">
        <f t="shared" si="0"/>
        <v>21.236657999999959</v>
      </c>
      <c r="G29">
        <f t="shared" si="1"/>
        <v>-100.46114400000006</v>
      </c>
      <c r="H29" t="s">
        <v>6</v>
      </c>
      <c r="I29">
        <v>20</v>
      </c>
      <c r="J29">
        <v>30</v>
      </c>
      <c r="K29" s="3">
        <v>46002</v>
      </c>
      <c r="L29" s="3" t="s">
        <v>66</v>
      </c>
    </row>
    <row r="30" spans="1:12" x14ac:dyDescent="0.25">
      <c r="A30" t="s">
        <v>52</v>
      </c>
      <c r="B30" t="s">
        <v>18</v>
      </c>
      <c r="C30" t="s">
        <v>5</v>
      </c>
      <c r="D30" t="s">
        <v>30</v>
      </c>
      <c r="E30" t="s">
        <v>32</v>
      </c>
      <c r="F30">
        <f t="shared" si="0"/>
        <v>21.236659999999958</v>
      </c>
      <c r="G30">
        <f t="shared" si="1"/>
        <v>-100.46114300000006</v>
      </c>
      <c r="H30" t="s">
        <v>6</v>
      </c>
      <c r="I30">
        <v>20</v>
      </c>
      <c r="J30">
        <v>25</v>
      </c>
      <c r="K30" s="3">
        <v>46002</v>
      </c>
      <c r="L30" s="3" t="s">
        <v>66</v>
      </c>
    </row>
    <row r="31" spans="1:12" x14ac:dyDescent="0.25">
      <c r="A31" t="s">
        <v>53</v>
      </c>
      <c r="B31" t="s">
        <v>18</v>
      </c>
      <c r="C31" t="s">
        <v>5</v>
      </c>
      <c r="D31" t="s">
        <v>30</v>
      </c>
      <c r="E31" t="s">
        <v>32</v>
      </c>
      <c r="F31">
        <f t="shared" si="0"/>
        <v>21.236661999999956</v>
      </c>
      <c r="G31">
        <f t="shared" si="1"/>
        <v>-100.46114200000007</v>
      </c>
      <c r="H31" t="s">
        <v>6</v>
      </c>
      <c r="I31">
        <v>20</v>
      </c>
      <c r="J31">
        <v>30</v>
      </c>
      <c r="K31" s="3">
        <v>46002</v>
      </c>
      <c r="L31" s="3" t="s">
        <v>66</v>
      </c>
    </row>
    <row r="32" spans="1:12" x14ac:dyDescent="0.25">
      <c r="A32" t="s">
        <v>54</v>
      </c>
      <c r="B32" t="s">
        <v>18</v>
      </c>
      <c r="C32" t="s">
        <v>5</v>
      </c>
      <c r="D32" t="s">
        <v>30</v>
      </c>
      <c r="E32" t="s">
        <v>32</v>
      </c>
      <c r="F32">
        <f t="shared" si="0"/>
        <v>21.236663999999955</v>
      </c>
      <c r="G32">
        <f t="shared" si="1"/>
        <v>-100.46114100000007</v>
      </c>
      <c r="H32" t="s">
        <v>6</v>
      </c>
      <c r="I32">
        <v>20</v>
      </c>
      <c r="J32">
        <v>30</v>
      </c>
      <c r="K32" s="3">
        <v>46002</v>
      </c>
      <c r="L32" s="3" t="s">
        <v>66</v>
      </c>
    </row>
    <row r="33" spans="1:12" x14ac:dyDescent="0.25">
      <c r="A33" t="s">
        <v>55</v>
      </c>
      <c r="B33" t="s">
        <v>18</v>
      </c>
      <c r="C33" t="s">
        <v>5</v>
      </c>
      <c r="D33" t="s">
        <v>30</v>
      </c>
      <c r="E33" t="s">
        <v>20</v>
      </c>
      <c r="F33">
        <f t="shared" si="0"/>
        <v>21.236665999999953</v>
      </c>
      <c r="G33">
        <f t="shared" si="1"/>
        <v>-100.46114000000007</v>
      </c>
      <c r="H33" t="s">
        <v>6</v>
      </c>
      <c r="I33">
        <v>20</v>
      </c>
      <c r="J33">
        <v>24</v>
      </c>
      <c r="K33" s="3">
        <v>46002</v>
      </c>
      <c r="L33" s="3" t="s">
        <v>66</v>
      </c>
    </row>
    <row r="34" spans="1:12" x14ac:dyDescent="0.25">
      <c r="A34" t="s">
        <v>56</v>
      </c>
      <c r="B34" t="s">
        <v>18</v>
      </c>
      <c r="C34" t="s">
        <v>5</v>
      </c>
      <c r="D34" t="s">
        <v>30</v>
      </c>
      <c r="E34" t="s">
        <v>20</v>
      </c>
      <c r="F34">
        <f t="shared" si="0"/>
        <v>21.236667999999952</v>
      </c>
      <c r="G34">
        <f t="shared" si="1"/>
        <v>-100.46113900000007</v>
      </c>
      <c r="H34" t="s">
        <v>6</v>
      </c>
      <c r="I34">
        <v>20</v>
      </c>
      <c r="J34">
        <v>30</v>
      </c>
      <c r="K34" s="3">
        <v>46002</v>
      </c>
      <c r="L34" s="3" t="s">
        <v>66</v>
      </c>
    </row>
    <row r="35" spans="1:12" x14ac:dyDescent="0.25">
      <c r="A35" t="s">
        <v>57</v>
      </c>
      <c r="B35" t="s">
        <v>18</v>
      </c>
      <c r="C35" t="s">
        <v>5</v>
      </c>
      <c r="D35" t="s">
        <v>30</v>
      </c>
      <c r="E35" t="s">
        <v>20</v>
      </c>
      <c r="F35">
        <f t="shared" si="0"/>
        <v>21.23666999999995</v>
      </c>
      <c r="G35">
        <f t="shared" si="1"/>
        <v>-100.46113800000008</v>
      </c>
      <c r="H35" t="s">
        <v>6</v>
      </c>
      <c r="I35">
        <v>20</v>
      </c>
      <c r="J35">
        <v>30</v>
      </c>
      <c r="K35" s="3">
        <v>46002</v>
      </c>
      <c r="L35" s="3" t="s">
        <v>66</v>
      </c>
    </row>
  </sheetData>
  <dataValidations count="5">
    <dataValidation type="list" allowBlank="1" showInputMessage="1" showErrorMessage="1" sqref="B2:B1309">
      <formula1>"MAGUEY, ÓRGANO, NOPAL, OTRA CACTÁCEA, OTRO"</formula1>
    </dataValidation>
    <dataValidation type="list" allowBlank="1" showInputMessage="1" showErrorMessage="1" sqref="C2:C35">
      <formula1>"agave, lophoceryus,opuntia"</formula1>
    </dataValidation>
    <dataValidation type="list" allowBlank="1" showInputMessage="1" showErrorMessage="1" sqref="D2:D39">
      <formula1>"salmiana,americana,cupratea,común,duraznillo,tunero,cardón"</formula1>
    </dataValidation>
    <dataValidation type="list" allowBlank="1" showInputMessage="1" showErrorMessage="1" sqref="E2:E35">
      <formula1>"Ruinas,Agrícola,Juan Manuel,Maria Leonor, Martín Luis"</formula1>
    </dataValidation>
    <dataValidation type="list" allowBlank="1" showInputMessage="1" showErrorMessage="1" sqref="H2:H35">
      <formula1>"Excelente,Bueno,Regular,Crítico"</formula1>
    </dataValidation>
  </dataValidations>
  <pageMargins left="0.7" right="0.7" top="0.75" bottom="0.75" header="0.3" footer="0.3"/>
  <pageSetup orientation="portrait" horizontalDpi="4294967292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Martín Pons</dc:creator>
  <cp:lastModifiedBy>Martín Pons</cp:lastModifiedBy>
  <dcterms:created xsi:type="dcterms:W3CDTF">2025-12-17T06:38:17Z</dcterms:created>
  <dcterms:modified xsi:type="dcterms:W3CDTF">2025-12-20T05:30:21Z</dcterms:modified>
</cp:coreProperties>
</file>